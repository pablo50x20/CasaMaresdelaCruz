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74b580192c3d4e/Escritorio/Casa Mares de la Cruz/"/>
    </mc:Choice>
  </mc:AlternateContent>
  <xr:revisionPtr revIDLastSave="144" documentId="8_{2E5B1D0E-3640-4EBA-A6D5-2F30A054173E}" xr6:coauthVersionLast="47" xr6:coauthVersionMax="47" xr10:uidLastSave="{E58DC8FE-370A-4C17-BDD4-F0073DA99345}"/>
  <bookViews>
    <workbookView xWindow="-110" yWindow="-110" windowWidth="19420" windowHeight="10300" xr2:uid="{5280A1DD-41F2-4CD3-88C5-BAA7BF160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22" i="1"/>
  <c r="C23" i="1"/>
  <c r="C24" i="1"/>
  <c r="C25" i="1"/>
  <c r="C26" i="1"/>
  <c r="C27" i="1"/>
  <c r="C28" i="1"/>
  <c r="C29" i="1"/>
  <c r="C30" i="1"/>
  <c r="C31" i="1"/>
  <c r="C32" i="1"/>
  <c r="C14" i="1"/>
  <c r="C1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<sst xmlns="http://schemas.openxmlformats.org/spreadsheetml/2006/main" count="52" uniqueCount="42">
  <si>
    <t>unidades</t>
  </si>
  <si>
    <t>valor unitario</t>
  </si>
  <si>
    <t>valor minimo de venta</t>
  </si>
  <si>
    <t>XS</t>
  </si>
  <si>
    <t>S</t>
  </si>
  <si>
    <t>M</t>
  </si>
  <si>
    <t>L</t>
  </si>
  <si>
    <t>XL</t>
  </si>
  <si>
    <t>XXL</t>
  </si>
  <si>
    <t>XXXL</t>
  </si>
  <si>
    <t>valor optimo</t>
  </si>
  <si>
    <t>valor máximo</t>
  </si>
  <si>
    <t>vestido olivia</t>
  </si>
  <si>
    <t>vestido capri</t>
  </si>
  <si>
    <t>vestido siena</t>
  </si>
  <si>
    <t>vestido amalfi</t>
  </si>
  <si>
    <t>vestido lucía</t>
  </si>
  <si>
    <t>colección</t>
  </si>
  <si>
    <t>colección mediterranea</t>
  </si>
  <si>
    <t>vestido</t>
  </si>
  <si>
    <t>TU</t>
  </si>
  <si>
    <t>vestido fiorella</t>
  </si>
  <si>
    <t>vestido allegra</t>
  </si>
  <si>
    <t>vestido serafina</t>
  </si>
  <si>
    <t>colección giardino</t>
  </si>
  <si>
    <t>vestido rosalia</t>
  </si>
  <si>
    <t>pantalon vicctoria</t>
  </si>
  <si>
    <t>vestido calista</t>
  </si>
  <si>
    <t>vestido aurelia</t>
  </si>
  <si>
    <t>colección terra mia</t>
  </si>
  <si>
    <t>colección riviera</t>
  </si>
  <si>
    <t>vestido elara</t>
  </si>
  <si>
    <t>vestido amira</t>
  </si>
  <si>
    <t>vestido solea</t>
  </si>
  <si>
    <t>vestido nerina</t>
  </si>
  <si>
    <t>vestido sahara</t>
  </si>
  <si>
    <t>Columna1</t>
  </si>
  <si>
    <t>-</t>
  </si>
  <si>
    <t>cartera</t>
  </si>
  <si>
    <t>the beach is my terapy</t>
  </si>
  <si>
    <t>vestido de punto</t>
  </si>
  <si>
    <t>viscosa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</si>
</sst>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_ [$€-2]\ * #,##0.00_ ;_ [$€-2]\ * \-#,##0.00_ ;_ [$€-2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42" fontId="0" fillId="0" borderId="0" xfId="1" applyFont="1"/>
    <xf numFmtId="42" fontId="0" fillId="0" borderId="0" xfId="1" applyFont="1" applyFill="1"/>
    <xf numFmtId="0" fontId="0" fillId="2" borderId="0" xfId="0" applyFill="1"/>
  </cellXfs>
  <cellStyles count="2">
    <cellStyle name="Moneda [0]" xfId="1" builtinId="7"/>
    <cellStyle name="Normal" xfId="0" builtinId="0"/>
  </cellStyles>
  <dxfs count="2">
    <dxf>
      <numFmt numFmtId="164" formatCode="_ [$€-2]\ * #,##0.00_ ;_ [$€-2]\ * \-#,##0.00_ ;_ [$€-2]\ * &quot;-&quot;??_ ;_ @_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7B501-3EE4-4D0E-A165-BFB457BA7665}" name="Tabla1" displayName="Tabla1" ref="A2:P32" totalsRowShown="0">
  <autoFilter ref="A2:P32" xr:uid="{C9A7B501-3EE4-4D0E-A165-BFB457BA7665}"/>
  <tableColumns count="16">
    <tableColumn id="1" xr3:uid="{A818826F-AF6A-4E3E-A417-E86FC60B0A9E}" name="colección"/>
    <tableColumn id="14" xr3:uid="{31FCCDB2-755C-4AA6-BEB6-9654E9EA644C}" name="vestido"/>
    <tableColumn id="2" xr3:uid="{1D6F4EF7-E0D7-441B-A42E-0903624E561D}" name="unidades" dataDxfId="1">
      <calculatedColumnFormula>SUM(Tabla1[[#This Row],[TU]:[XXXL]])</calculatedColumnFormula>
    </tableColumn>
    <tableColumn id="15" xr3:uid="{437D0930-9E29-449E-9238-6B5E4EE9D192}" name="TU"/>
    <tableColumn id="7" xr3:uid="{F96F1748-D6FD-4D7D-99B7-5C9C25939A09}" name="XS"/>
    <tableColumn id="12" xr3:uid="{879375C4-EBE1-4B56-B1C4-9E479FBEF523}" name="S"/>
    <tableColumn id="11" xr3:uid="{A498319E-331C-4C27-9759-BD7D4570D7AB}" name="M"/>
    <tableColumn id="10" xr3:uid="{664A16F0-EEB6-4F41-AD61-04765908AD3C}" name="L"/>
    <tableColumn id="9" xr3:uid="{CA5291C5-2DCB-4178-94F0-1ABEB86E6B9C}" name="XL"/>
    <tableColumn id="13" xr3:uid="{C2A3A4A6-610A-480E-B53C-40C8BF9513AD}" name="XXL"/>
    <tableColumn id="8" xr3:uid="{690B9766-28FB-4236-8BC6-EDE40882779B}" name="XXXL"/>
    <tableColumn id="3" xr3:uid="{8B60736F-9B95-4779-8854-C930D5EAC696}" name="valor unitario" dataDxfId="0"/>
    <tableColumn id="4" xr3:uid="{ED3CD323-F74F-4E0F-BA34-5CD5F300F7C7}" name="valor minimo de venta" dataCellStyle="Moneda [0]"/>
    <tableColumn id="5" xr3:uid="{6387CCCC-B4F2-4432-92BA-0E5E052F5572}" name="valor optimo"/>
    <tableColumn id="6" xr3:uid="{74886855-35F9-4447-B5EF-FEA5B2C8A627}" name="valor máximo"/>
    <tableColumn id="16" xr3:uid="{024B1A7C-5BAD-4F76-9F53-D607DB2C9BB4}" name="Columna1" dataCellStyle="Moneda [0]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7BE1-5F70-4734-A2C4-746776588936}">
  <dimension ref="A2:P32"/>
  <sheetViews>
    <sheetView tabSelected="1" workbookViewId="0">
      <selection activeCell="B11" sqref="B11"/>
    </sheetView>
  </sheetViews>
  <sheetFormatPr baseColWidth="10" defaultRowHeight="14.5" x14ac:dyDescent="0.35"/>
  <cols>
    <col min="1" max="2" width="45.90625" customWidth="1"/>
    <col min="3" max="3" width="16.54296875" customWidth="1"/>
    <col min="4" max="4" width="5.453125" customWidth="1"/>
    <col min="5" max="5" width="6.7265625" customWidth="1"/>
    <col min="6" max="6" width="6.81640625" customWidth="1"/>
    <col min="7" max="7" width="5.7265625" customWidth="1"/>
    <col min="8" max="8" width="5.1796875" customWidth="1"/>
    <col min="9" max="9" width="5.453125" customWidth="1"/>
    <col min="10" max="10" width="6.08984375" customWidth="1"/>
    <col min="11" max="11" width="7.1796875" customWidth="1"/>
    <col min="12" max="12" width="17.7265625" style="1" customWidth="1"/>
    <col min="13" max="13" width="25.26953125" style="3" customWidth="1"/>
    <col min="14" max="14" width="19.90625" customWidth="1"/>
    <col min="15" max="15" width="27.1796875" customWidth="1"/>
    <col min="16" max="16" width="10.90625" style="3"/>
  </cols>
  <sheetData>
    <row r="2" spans="1:16" x14ac:dyDescent="0.35">
      <c r="A2" t="s">
        <v>17</v>
      </c>
      <c r="B2" t="s">
        <v>19</v>
      </c>
      <c r="C2" t="s">
        <v>0</v>
      </c>
      <c r="D2" t="s">
        <v>20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1" t="s">
        <v>1</v>
      </c>
      <c r="M2" s="3" t="s">
        <v>2</v>
      </c>
      <c r="N2" t="s">
        <v>10</v>
      </c>
      <c r="O2" t="s">
        <v>11</v>
      </c>
      <c r="P2" s="3" t="s">
        <v>36</v>
      </c>
    </row>
    <row r="3" spans="1:16" x14ac:dyDescent="0.35">
      <c r="A3" t="s">
        <v>18</v>
      </c>
      <c r="B3" t="s">
        <v>13</v>
      </c>
      <c r="C3">
        <f>SUM(Tabla1[[#This Row],[TU]:[XXXL]])</f>
        <v>5</v>
      </c>
      <c r="F3" s="5">
        <v>1</v>
      </c>
      <c r="G3">
        <v>1</v>
      </c>
      <c r="H3">
        <v>1</v>
      </c>
      <c r="I3">
        <v>1</v>
      </c>
      <c r="J3">
        <v>1</v>
      </c>
      <c r="L3" s="1">
        <v>4</v>
      </c>
      <c r="M3" s="4">
        <v>12990</v>
      </c>
      <c r="N3" s="2">
        <v>16990</v>
      </c>
      <c r="O3" s="2">
        <v>19990</v>
      </c>
      <c r="P3" s="3">
        <v>15000</v>
      </c>
    </row>
    <row r="4" spans="1:16" x14ac:dyDescent="0.35">
      <c r="A4" t="s">
        <v>18</v>
      </c>
      <c r="B4" t="s">
        <v>15</v>
      </c>
      <c r="C4">
        <f>SUM(Tabla1[[#This Row],[TU]:[XXXL]])</f>
        <v>4</v>
      </c>
      <c r="F4">
        <v>1</v>
      </c>
      <c r="G4">
        <v>1</v>
      </c>
      <c r="H4">
        <v>1</v>
      </c>
      <c r="I4">
        <v>1</v>
      </c>
      <c r="L4" s="1">
        <v>4</v>
      </c>
      <c r="M4" s="4">
        <v>12990</v>
      </c>
      <c r="N4" s="2">
        <v>16990</v>
      </c>
      <c r="O4" s="2">
        <v>19990</v>
      </c>
    </row>
    <row r="5" spans="1:16" x14ac:dyDescent="0.35">
      <c r="A5" t="s">
        <v>18</v>
      </c>
      <c r="B5" t="s">
        <v>14</v>
      </c>
      <c r="C5">
        <f>SUM(Tabla1[[#This Row],[TU]:[XXXL]])</f>
        <v>4</v>
      </c>
      <c r="F5">
        <v>1</v>
      </c>
      <c r="G5">
        <v>1</v>
      </c>
      <c r="H5">
        <v>1</v>
      </c>
      <c r="J5">
        <v>1</v>
      </c>
      <c r="L5" s="1">
        <v>4</v>
      </c>
      <c r="M5" s="4">
        <v>12990</v>
      </c>
      <c r="N5" s="2">
        <v>16990</v>
      </c>
      <c r="O5" s="2">
        <v>19990</v>
      </c>
    </row>
    <row r="6" spans="1:16" x14ac:dyDescent="0.35">
      <c r="A6" t="s">
        <v>18</v>
      </c>
      <c r="B6" t="s">
        <v>16</v>
      </c>
      <c r="C6">
        <f>SUM(Tabla1[[#This Row],[TU]:[XXXL]])</f>
        <v>4</v>
      </c>
      <c r="G6">
        <v>1</v>
      </c>
      <c r="H6">
        <v>1</v>
      </c>
      <c r="I6">
        <v>1</v>
      </c>
      <c r="J6">
        <v>1</v>
      </c>
      <c r="L6" s="1">
        <v>4</v>
      </c>
      <c r="M6" s="4">
        <v>12990</v>
      </c>
      <c r="N6" s="2">
        <v>16990</v>
      </c>
      <c r="O6" s="2">
        <v>19990</v>
      </c>
    </row>
    <row r="7" spans="1:16" x14ac:dyDescent="0.35">
      <c r="A7" t="s">
        <v>18</v>
      </c>
      <c r="B7" t="s">
        <v>12</v>
      </c>
      <c r="C7">
        <f>SUM(Tabla1[[#This Row],[TU]:[XXXL]])</f>
        <v>3</v>
      </c>
      <c r="F7">
        <v>1</v>
      </c>
      <c r="G7">
        <v>1</v>
      </c>
      <c r="H7">
        <v>1</v>
      </c>
      <c r="L7" s="1">
        <v>4</v>
      </c>
      <c r="M7" s="4">
        <v>12990</v>
      </c>
      <c r="N7" s="2">
        <v>16990</v>
      </c>
      <c r="O7" s="2">
        <v>19990</v>
      </c>
    </row>
    <row r="8" spans="1:16" x14ac:dyDescent="0.35">
      <c r="A8" t="s">
        <v>24</v>
      </c>
      <c r="B8" t="s">
        <v>21</v>
      </c>
      <c r="C8">
        <f>SUM(Tabla1[[#This Row],[TU]:[XXXL]])</f>
        <v>1</v>
      </c>
      <c r="D8">
        <v>1</v>
      </c>
      <c r="L8" s="1">
        <v>7</v>
      </c>
      <c r="M8" s="4">
        <v>27990</v>
      </c>
      <c r="N8" s="2">
        <v>29990</v>
      </c>
      <c r="O8" s="2">
        <v>34990</v>
      </c>
    </row>
    <row r="9" spans="1:16" x14ac:dyDescent="0.35">
      <c r="A9" t="s">
        <v>24</v>
      </c>
      <c r="B9" t="s">
        <v>22</v>
      </c>
      <c r="C9">
        <f>SUM(Tabla1[[#This Row],[TU]:[XXXL]])</f>
        <v>1</v>
      </c>
      <c r="D9">
        <v>1</v>
      </c>
      <c r="L9" s="1">
        <v>7</v>
      </c>
      <c r="M9" s="4">
        <v>27990</v>
      </c>
      <c r="N9" s="2">
        <v>29990</v>
      </c>
      <c r="O9" s="2">
        <v>34990</v>
      </c>
    </row>
    <row r="10" spans="1:16" x14ac:dyDescent="0.35">
      <c r="A10" t="s">
        <v>24</v>
      </c>
      <c r="B10" t="s">
        <v>23</v>
      </c>
      <c r="C10">
        <f>SUM(Tabla1[[#This Row],[TU]:[XXXL]])</f>
        <v>1</v>
      </c>
      <c r="D10">
        <v>1</v>
      </c>
      <c r="L10" s="1">
        <v>7</v>
      </c>
      <c r="M10" s="4">
        <v>27990</v>
      </c>
      <c r="N10" s="2">
        <v>29990</v>
      </c>
      <c r="O10" s="2">
        <v>34990</v>
      </c>
    </row>
    <row r="11" spans="1:16" x14ac:dyDescent="0.35">
      <c r="B11" t="s">
        <v>25</v>
      </c>
      <c r="C11">
        <f>SUM(Tabla1[[#This Row],[TU]:[XXXL]])</f>
        <v>3</v>
      </c>
      <c r="D11">
        <v>3</v>
      </c>
      <c r="L11" s="1">
        <v>7</v>
      </c>
      <c r="M11" s="4">
        <v>27990</v>
      </c>
      <c r="N11" s="2">
        <v>29990</v>
      </c>
      <c r="O11" s="2">
        <v>34990</v>
      </c>
    </row>
    <row r="12" spans="1:16" x14ac:dyDescent="0.35">
      <c r="B12" t="s">
        <v>26</v>
      </c>
      <c r="C12">
        <f>SUM(Tabla1[[#This Row],[TU]:[XXXL]])</f>
        <v>1</v>
      </c>
      <c r="I12">
        <v>1</v>
      </c>
      <c r="L12" s="1">
        <v>4</v>
      </c>
      <c r="M12" s="4">
        <v>16990</v>
      </c>
      <c r="N12" s="2">
        <v>29990</v>
      </c>
      <c r="O12" s="2">
        <v>34990</v>
      </c>
    </row>
    <row r="13" spans="1:16" x14ac:dyDescent="0.35">
      <c r="A13" t="s">
        <v>29</v>
      </c>
      <c r="B13" t="s">
        <v>27</v>
      </c>
      <c r="C13">
        <f>SUM(Tabla1[[#This Row],[TU]:[XXXL]])</f>
        <v>1</v>
      </c>
      <c r="D13">
        <v>1</v>
      </c>
      <c r="L13" s="1">
        <v>7</v>
      </c>
      <c r="M13" s="4">
        <v>24990</v>
      </c>
      <c r="N13" s="2">
        <v>29990</v>
      </c>
      <c r="O13" s="2">
        <v>34990</v>
      </c>
    </row>
    <row r="14" spans="1:16" x14ac:dyDescent="0.35">
      <c r="A14" t="s">
        <v>29</v>
      </c>
      <c r="B14" t="s">
        <v>28</v>
      </c>
      <c r="C14">
        <f>SUM(Tabla1[[#This Row],[TU]:[XXXL]])</f>
        <v>1</v>
      </c>
      <c r="D14">
        <v>1</v>
      </c>
      <c r="L14" s="1">
        <v>7</v>
      </c>
      <c r="M14" s="4">
        <v>24990</v>
      </c>
      <c r="N14" s="2">
        <v>29990</v>
      </c>
      <c r="O14" s="2">
        <v>34990</v>
      </c>
    </row>
    <row r="15" spans="1:16" x14ac:dyDescent="0.35">
      <c r="A15" t="s">
        <v>30</v>
      </c>
      <c r="B15" t="s">
        <v>31</v>
      </c>
      <c r="C15">
        <f>SUM(Tabla1[[#This Row],[TU]:[XXXL]])</f>
        <v>1</v>
      </c>
      <c r="D15">
        <v>1</v>
      </c>
      <c r="L15" s="1">
        <v>7</v>
      </c>
      <c r="M15" s="4">
        <v>24990</v>
      </c>
      <c r="N15" s="2">
        <v>29990</v>
      </c>
      <c r="O15" s="2">
        <v>34990</v>
      </c>
    </row>
    <row r="16" spans="1:16" x14ac:dyDescent="0.35">
      <c r="A16" t="s">
        <v>30</v>
      </c>
      <c r="B16" t="s">
        <v>32</v>
      </c>
      <c r="C16">
        <f>SUM(Tabla1[[#This Row],[TU]:[XXXL]])</f>
        <v>1</v>
      </c>
      <c r="D16">
        <v>1</v>
      </c>
      <c r="L16" s="1">
        <v>7</v>
      </c>
      <c r="M16" s="4">
        <v>24990</v>
      </c>
      <c r="N16" s="2">
        <v>29990</v>
      </c>
      <c r="O16" s="2">
        <v>34990</v>
      </c>
    </row>
    <row r="17" spans="1:16" x14ac:dyDescent="0.35">
      <c r="A17" t="s">
        <v>30</v>
      </c>
      <c r="B17" t="s">
        <v>33</v>
      </c>
      <c r="C17">
        <f>SUM(Tabla1[[#This Row],[TU]:[XXXL]])</f>
        <v>1</v>
      </c>
      <c r="D17">
        <v>1</v>
      </c>
      <c r="L17" s="1">
        <v>7</v>
      </c>
      <c r="M17" s="4">
        <v>24990</v>
      </c>
      <c r="N17" s="2">
        <v>29990</v>
      </c>
      <c r="O17" s="2">
        <v>34990</v>
      </c>
    </row>
    <row r="18" spans="1:16" x14ac:dyDescent="0.35">
      <c r="A18" t="s">
        <v>30</v>
      </c>
      <c r="B18" t="s">
        <v>34</v>
      </c>
      <c r="C18">
        <f>SUM(Tabla1[[#This Row],[TU]:[XXXL]])</f>
        <v>1</v>
      </c>
      <c r="D18">
        <v>1</v>
      </c>
      <c r="L18" s="1">
        <v>7</v>
      </c>
      <c r="M18" s="4">
        <v>24990</v>
      </c>
      <c r="N18" s="2">
        <v>29990</v>
      </c>
      <c r="O18" s="2">
        <v>34990</v>
      </c>
    </row>
    <row r="19" spans="1:16" x14ac:dyDescent="0.35">
      <c r="A19" t="s">
        <v>37</v>
      </c>
      <c r="B19" t="s">
        <v>35</v>
      </c>
      <c r="C19">
        <f>SUM(Tabla1[[#This Row],[TU]:[XXXL]])</f>
        <v>1</v>
      </c>
      <c r="D19">
        <v>1</v>
      </c>
      <c r="L19" s="1">
        <v>7</v>
      </c>
      <c r="M19" s="4">
        <v>27990</v>
      </c>
      <c r="N19" s="2">
        <v>29990</v>
      </c>
      <c r="O19">
        <v>34990</v>
      </c>
    </row>
    <row r="20" spans="1:16" x14ac:dyDescent="0.35">
      <c r="A20" t="s">
        <v>40</v>
      </c>
      <c r="B20" t="s">
        <v>41</v>
      </c>
      <c r="C20">
        <v>1</v>
      </c>
      <c r="L20" s="1">
        <v>10</v>
      </c>
      <c r="M20" s="4">
        <v>27990</v>
      </c>
      <c r="N20" s="2">
        <v>29990</v>
      </c>
      <c r="O20">
        <v>34990</v>
      </c>
      <c r="P20" s="3">
        <v>22000</v>
      </c>
    </row>
    <row r="21" spans="1:16" x14ac:dyDescent="0.35">
      <c r="A21" t="s">
        <v>38</v>
      </c>
      <c r="B21" t="s">
        <v>39</v>
      </c>
      <c r="C21">
        <v>1</v>
      </c>
      <c r="L21" s="1">
        <v>12</v>
      </c>
      <c r="M21" s="4"/>
      <c r="P21" s="3">
        <v>25000</v>
      </c>
    </row>
    <row r="22" spans="1:16" x14ac:dyDescent="0.35">
      <c r="C22">
        <f>SUM(Tabla1[[#This Row],[TU]:[XXXL]])</f>
        <v>0</v>
      </c>
    </row>
    <row r="23" spans="1:16" x14ac:dyDescent="0.35">
      <c r="C23">
        <f>SUM(Tabla1[[#This Row],[TU]:[XXXL]])</f>
        <v>0</v>
      </c>
    </row>
    <row r="24" spans="1:16" x14ac:dyDescent="0.35">
      <c r="C24">
        <f>SUM(Tabla1[[#This Row],[TU]:[XXXL]])</f>
        <v>0</v>
      </c>
    </row>
    <row r="25" spans="1:16" x14ac:dyDescent="0.35">
      <c r="C25">
        <f>SUM(Tabla1[[#This Row],[TU]:[XXXL]])</f>
        <v>0</v>
      </c>
    </row>
    <row r="26" spans="1:16" x14ac:dyDescent="0.35">
      <c r="C26">
        <f>SUM(Tabla1[[#This Row],[TU]:[XXXL]])</f>
        <v>0</v>
      </c>
    </row>
    <row r="27" spans="1:16" x14ac:dyDescent="0.35">
      <c r="C27">
        <f>SUM(Tabla1[[#This Row],[TU]:[XXXL]])</f>
        <v>0</v>
      </c>
    </row>
    <row r="28" spans="1:16" x14ac:dyDescent="0.35">
      <c r="C28">
        <f>SUM(Tabla1[[#This Row],[TU]:[XXXL]])</f>
        <v>0</v>
      </c>
    </row>
    <row r="29" spans="1:16" x14ac:dyDescent="0.35">
      <c r="C29">
        <f>SUM(Tabla1[[#This Row],[TU]:[XXXL]])</f>
        <v>0</v>
      </c>
    </row>
    <row r="30" spans="1:16" x14ac:dyDescent="0.35">
      <c r="C30">
        <f>SUM(Tabla1[[#This Row],[TU]:[XXXL]])</f>
        <v>0</v>
      </c>
    </row>
    <row r="31" spans="1:16" x14ac:dyDescent="0.35">
      <c r="C31">
        <f>SUM(Tabla1[[#This Row],[TU]:[XXXL]])</f>
        <v>0</v>
      </c>
    </row>
    <row r="32" spans="1:16" x14ac:dyDescent="0.35">
      <c r="C32">
        <f>SUM(Tabla1[[#This Row],[TU]:[XXXL]])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Sanhueza</dc:creator>
  <cp:lastModifiedBy>Macarena Sanhueza</cp:lastModifiedBy>
  <dcterms:created xsi:type="dcterms:W3CDTF">2026-09-10T22:21:55Z</dcterms:created>
  <dcterms:modified xsi:type="dcterms:W3CDTF">2026-10-21T23:54:24Z</dcterms:modified>
</cp:coreProperties>
</file>